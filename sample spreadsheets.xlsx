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01D60E8FDC72B3/Projects/Construction_Analytics_Platform/"/>
    </mc:Choice>
  </mc:AlternateContent>
  <xr:revisionPtr revIDLastSave="0" documentId="8_{E4984EFB-5FCB-4C2D-BC2B-1D1811945C96}" xr6:coauthVersionLast="47" xr6:coauthVersionMax="47" xr10:uidLastSave="{00000000-0000-0000-0000-000000000000}"/>
  <bookViews>
    <workbookView xWindow="-120" yWindow="-120" windowWidth="29040" windowHeight="15900" activeTab="1" xr2:uid="{8F1B9D67-5322-41BF-B9F8-8C405516BCD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8" i="2" l="1"/>
  <c r="T8" i="2"/>
  <c r="Q8" i="2"/>
  <c r="P8" i="2"/>
  <c r="M8" i="2"/>
  <c r="L8" i="2"/>
  <c r="I8" i="2"/>
  <c r="H8" i="2"/>
  <c r="E8" i="2"/>
  <c r="D8" i="2"/>
  <c r="E33" i="1"/>
  <c r="F33" i="1"/>
  <c r="D33" i="1"/>
  <c r="G27" i="1"/>
  <c r="H27" i="1" s="1"/>
  <c r="G26" i="1"/>
  <c r="H26" i="1" s="1"/>
  <c r="G25" i="1"/>
  <c r="H25" i="1" s="1"/>
  <c r="G24" i="1"/>
  <c r="H24" i="1" s="1"/>
  <c r="G23" i="1"/>
  <c r="H23" i="1" s="1"/>
  <c r="G22" i="1"/>
  <c r="G21" i="1"/>
  <c r="H21" i="1" s="1"/>
  <c r="H20" i="1"/>
  <c r="G20" i="1"/>
  <c r="G19" i="1"/>
  <c r="H19" i="1" s="1"/>
  <c r="H8" i="1"/>
  <c r="H9" i="1"/>
  <c r="H10" i="1"/>
  <c r="H11" i="1"/>
  <c r="H12" i="1"/>
  <c r="H13" i="1"/>
  <c r="H14" i="1"/>
  <c r="H15" i="1"/>
  <c r="H16" i="1"/>
  <c r="H17" i="1"/>
  <c r="G17" i="1"/>
  <c r="G9" i="1"/>
  <c r="G10" i="1"/>
  <c r="G11" i="1"/>
  <c r="G12" i="1"/>
  <c r="G13" i="1"/>
  <c r="G14" i="1"/>
  <c r="G15" i="1"/>
  <c r="G16" i="1"/>
  <c r="G8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O14" i="1"/>
  <c r="AU13" i="1"/>
  <c r="AU12" i="1"/>
  <c r="AU11" i="1"/>
  <c r="AU10" i="1"/>
  <c r="AU9" i="1"/>
  <c r="AU8" i="1"/>
  <c r="AU7" i="1"/>
  <c r="AJ13" i="1"/>
  <c r="AJ12" i="1"/>
  <c r="AJ11" i="1"/>
  <c r="AJ10" i="1"/>
  <c r="AJ9" i="1"/>
  <c r="AJ8" i="1"/>
  <c r="AJ7" i="1"/>
  <c r="Y8" i="1"/>
  <c r="Y9" i="1"/>
  <c r="Y10" i="1"/>
  <c r="Y11" i="1"/>
  <c r="Y12" i="1"/>
  <c r="Y13" i="1"/>
  <c r="Y7" i="1"/>
  <c r="F28" i="1"/>
  <c r="E28" i="1"/>
  <c r="D28" i="1"/>
  <c r="F17" i="1"/>
  <c r="E17" i="1"/>
  <c r="D17" i="1"/>
  <c r="G28" i="1" l="1"/>
  <c r="H22" i="1"/>
  <c r="H28" i="1" s="1"/>
</calcChain>
</file>

<file path=xl/sharedStrings.xml><?xml version="1.0" encoding="utf-8"?>
<sst xmlns="http://schemas.openxmlformats.org/spreadsheetml/2006/main" count="116" uniqueCount="64">
  <si>
    <t>Job #</t>
  </si>
  <si>
    <t>Job Name:</t>
  </si>
  <si>
    <t>PM\Super:</t>
  </si>
  <si>
    <t>Sales Rep:</t>
  </si>
  <si>
    <t>Divison</t>
  </si>
  <si>
    <t>Cost Type</t>
  </si>
  <si>
    <t>Budget</t>
  </si>
  <si>
    <t>Actual</t>
  </si>
  <si>
    <t>Warranty</t>
  </si>
  <si>
    <t>Labor</t>
  </si>
  <si>
    <t>Labor Hours</t>
  </si>
  <si>
    <t>Burden</t>
  </si>
  <si>
    <t>General Material</t>
  </si>
  <si>
    <t>Major Material</t>
  </si>
  <si>
    <t>Equipment</t>
  </si>
  <si>
    <t>Subs</t>
  </si>
  <si>
    <t>Miscellaneous</t>
  </si>
  <si>
    <t>Total</t>
  </si>
  <si>
    <t>Sold Date</t>
  </si>
  <si>
    <t>Start Date</t>
  </si>
  <si>
    <t>End Date</t>
  </si>
  <si>
    <t>Fade\Gain Status</t>
  </si>
  <si>
    <t>production</t>
  </si>
  <si>
    <t>Travel</t>
  </si>
  <si>
    <t>Cost Code</t>
  </si>
  <si>
    <t>Desc</t>
  </si>
  <si>
    <t>Labor $</t>
  </si>
  <si>
    <t>Labor Qty</t>
  </si>
  <si>
    <t>Milling</t>
  </si>
  <si>
    <t>Reclaim</t>
  </si>
  <si>
    <t>Grading</t>
  </si>
  <si>
    <t>Paving</t>
  </si>
  <si>
    <t>Striping</t>
  </si>
  <si>
    <t>General Conditions</t>
  </si>
  <si>
    <t>Supervision</t>
  </si>
  <si>
    <t>Burden $</t>
  </si>
  <si>
    <t>General Material $</t>
  </si>
  <si>
    <t>Major Material $</t>
  </si>
  <si>
    <t>MM Qty</t>
  </si>
  <si>
    <t>Equipment $</t>
  </si>
  <si>
    <t>Equip hrs</t>
  </si>
  <si>
    <t>Subs $</t>
  </si>
  <si>
    <t>Misc $</t>
  </si>
  <si>
    <t>Variance</t>
  </si>
  <si>
    <t>Total Costs</t>
  </si>
  <si>
    <t>Actual $</t>
  </si>
  <si>
    <t>Contract $</t>
  </si>
  <si>
    <t>Budget $</t>
  </si>
  <si>
    <t>GM%</t>
  </si>
  <si>
    <t>GM $</t>
  </si>
  <si>
    <t>WIP</t>
  </si>
  <si>
    <t>Division</t>
  </si>
  <si>
    <t>Patch</t>
  </si>
  <si>
    <t>Concrete</t>
  </si>
  <si>
    <t>Seal\Lines</t>
  </si>
  <si>
    <t>Goal</t>
  </si>
  <si>
    <t>Month to date</t>
  </si>
  <si>
    <t>Revenue</t>
  </si>
  <si>
    <t>Cost</t>
  </si>
  <si>
    <t>Margin %</t>
  </si>
  <si>
    <t>Current Week</t>
  </si>
  <si>
    <t>July</t>
  </si>
  <si>
    <t>Prior Weeks Month To Date</t>
  </si>
  <si>
    <t>Forecast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</si>
</sst>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0" borderId="0" xfId="0" applyAlignment="1">
      <alignment horizontal="left" indent="1"/>
    </xf>
    <xf numFmtId="0" fontId="2" fillId="0" borderId="0" xfId="0" applyFont="1" applyAlignment="1">
      <alignment horizontal="left" indent="1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9" fontId="0" fillId="0" borderId="0" xfId="1" applyFont="1"/>
    <xf numFmtId="9" fontId="0" fillId="0" borderId="1" xfId="1" applyFont="1" applyBorder="1"/>
    <xf numFmtId="9" fontId="2" fillId="0" borderId="0" xfId="1" applyFont="1"/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B7025-D9DF-4A17-85A8-2BE79CC5621F}">
  <dimension ref="C1:AU34"/>
  <sheetViews>
    <sheetView zoomScale="70" zoomScaleNormal="70" workbookViewId="0">
      <selection activeCell="E30" sqref="E30"/>
    </sheetView>
  </sheetViews>
  <sheetFormatPr defaultRowHeight="15" x14ac:dyDescent="0.25"/>
  <cols>
    <col min="3" max="3" width="17" bestFit="1" customWidth="1"/>
    <col min="4" max="5" width="11.140625" bestFit="1" customWidth="1"/>
    <col min="6" max="6" width="11.7109375" bestFit="1" customWidth="1"/>
    <col min="7" max="7" width="14.42578125" bestFit="1" customWidth="1"/>
    <col min="8" max="8" width="12" bestFit="1" customWidth="1"/>
    <col min="9" max="9" width="17" bestFit="1" customWidth="1"/>
    <col min="13" max="13" width="10.5703125" bestFit="1" customWidth="1"/>
    <col min="14" max="14" width="18.140625" bestFit="1" customWidth="1"/>
    <col min="15" max="47" width="8.7109375" style="6" customWidth="1"/>
  </cols>
  <sheetData>
    <row r="1" spans="3:47" x14ac:dyDescent="0.25">
      <c r="C1" t="s">
        <v>0</v>
      </c>
    </row>
    <row r="2" spans="3:47" x14ac:dyDescent="0.25">
      <c r="C2" t="s">
        <v>1</v>
      </c>
      <c r="F2" t="s">
        <v>18</v>
      </c>
      <c r="I2" t="s">
        <v>21</v>
      </c>
    </row>
    <row r="3" spans="3:47" x14ac:dyDescent="0.25">
      <c r="C3" t="s">
        <v>4</v>
      </c>
      <c r="F3" t="s">
        <v>19</v>
      </c>
    </row>
    <row r="4" spans="3:47" x14ac:dyDescent="0.25">
      <c r="C4" t="s">
        <v>3</v>
      </c>
      <c r="F4" t="s">
        <v>20</v>
      </c>
    </row>
    <row r="5" spans="3:47" x14ac:dyDescent="0.25">
      <c r="C5" t="s">
        <v>2</v>
      </c>
      <c r="O5" s="7" t="s">
        <v>6</v>
      </c>
      <c r="Z5" s="7" t="s">
        <v>7</v>
      </c>
      <c r="AK5" s="7" t="s">
        <v>43</v>
      </c>
    </row>
    <row r="6" spans="3:47" ht="45" x14ac:dyDescent="0.25">
      <c r="M6" s="1" t="s">
        <v>24</v>
      </c>
      <c r="N6" s="1" t="s">
        <v>25</v>
      </c>
      <c r="O6" s="8" t="s">
        <v>26</v>
      </c>
      <c r="P6" s="8" t="s">
        <v>27</v>
      </c>
      <c r="Q6" s="8" t="s">
        <v>35</v>
      </c>
      <c r="R6" s="8" t="s">
        <v>36</v>
      </c>
      <c r="S6" s="8" t="s">
        <v>37</v>
      </c>
      <c r="T6" s="8" t="s">
        <v>38</v>
      </c>
      <c r="U6" s="8" t="s">
        <v>39</v>
      </c>
      <c r="V6" s="8" t="s">
        <v>40</v>
      </c>
      <c r="W6" s="8" t="s">
        <v>41</v>
      </c>
      <c r="X6" s="8" t="s">
        <v>42</v>
      </c>
      <c r="Y6" s="8" t="s">
        <v>17</v>
      </c>
      <c r="Z6" s="8" t="s">
        <v>26</v>
      </c>
      <c r="AA6" s="8" t="s">
        <v>27</v>
      </c>
      <c r="AB6" s="8" t="s">
        <v>35</v>
      </c>
      <c r="AC6" s="8" t="s">
        <v>36</v>
      </c>
      <c r="AD6" s="8" t="s">
        <v>37</v>
      </c>
      <c r="AE6" s="8" t="s">
        <v>38</v>
      </c>
      <c r="AF6" s="8" t="s">
        <v>39</v>
      </c>
      <c r="AG6" s="8" t="s">
        <v>40</v>
      </c>
      <c r="AH6" s="8" t="s">
        <v>41</v>
      </c>
      <c r="AI6" s="8" t="s">
        <v>42</v>
      </c>
      <c r="AJ6" s="8" t="s">
        <v>17</v>
      </c>
      <c r="AK6" s="8" t="s">
        <v>26</v>
      </c>
      <c r="AL6" s="8" t="s">
        <v>27</v>
      </c>
      <c r="AM6" s="8" t="s">
        <v>35</v>
      </c>
      <c r="AN6" s="8" t="s">
        <v>36</v>
      </c>
      <c r="AO6" s="8" t="s">
        <v>37</v>
      </c>
      <c r="AP6" s="8" t="s">
        <v>38</v>
      </c>
      <c r="AQ6" s="8" t="s">
        <v>39</v>
      </c>
      <c r="AR6" s="8" t="s">
        <v>40</v>
      </c>
      <c r="AS6" s="8" t="s">
        <v>41</v>
      </c>
      <c r="AT6" s="8" t="s">
        <v>42</v>
      </c>
      <c r="AU6" s="8" t="s">
        <v>17</v>
      </c>
    </row>
    <row r="7" spans="3:47" x14ac:dyDescent="0.25">
      <c r="C7" s="2" t="s">
        <v>5</v>
      </c>
      <c r="D7" s="2" t="s">
        <v>6</v>
      </c>
      <c r="E7" s="2" t="s">
        <v>45</v>
      </c>
      <c r="F7" s="2" t="s">
        <v>8</v>
      </c>
      <c r="G7" s="2" t="s">
        <v>44</v>
      </c>
      <c r="H7" s="2" t="s">
        <v>43</v>
      </c>
      <c r="M7">
        <v>1100</v>
      </c>
      <c r="N7" t="s">
        <v>28</v>
      </c>
      <c r="Y7" s="6">
        <f>SUM(O7,Q7,R7,S7,U7,W7,X7)</f>
        <v>0</v>
      </c>
      <c r="AJ7" s="6">
        <f>SUM(Z7,AB7,AC7,AD7,AF7,AH7,AI7)</f>
        <v>0</v>
      </c>
      <c r="AU7" s="6">
        <f>SUM(AK7,AM7,AN7,AO7,AQ7,AS7,AT7)</f>
        <v>0</v>
      </c>
    </row>
    <row r="8" spans="3:47" x14ac:dyDescent="0.25">
      <c r="C8" s="2" t="s">
        <v>22</v>
      </c>
      <c r="D8" s="2"/>
      <c r="E8" s="2"/>
      <c r="F8" s="2"/>
      <c r="G8">
        <f>SUM(E8:F8)</f>
        <v>0</v>
      </c>
      <c r="H8">
        <f>SUM(F8:G8)</f>
        <v>0</v>
      </c>
      <c r="M8">
        <v>1200</v>
      </c>
      <c r="N8" t="s">
        <v>29</v>
      </c>
      <c r="Y8" s="6">
        <f t="shared" ref="Y8:Y14" si="0">SUM(O8,Q8,R8,S8,U8,W8,X8)</f>
        <v>0</v>
      </c>
      <c r="AJ8" s="6">
        <f t="shared" ref="AJ8:AJ14" si="1">SUM(Z8,AB8,AC8,AD8,AF8,AH8,AI8)</f>
        <v>0</v>
      </c>
      <c r="AU8" s="6">
        <f t="shared" ref="AU8:AU14" si="2">SUM(AK8,AM8,AN8,AO8,AQ8,AS8,AT8)</f>
        <v>0</v>
      </c>
    </row>
    <row r="9" spans="3:47" x14ac:dyDescent="0.25">
      <c r="C9" s="4" t="s">
        <v>9</v>
      </c>
      <c r="G9">
        <f t="shared" ref="G9:H17" si="3">SUM(E9:F9)</f>
        <v>0</v>
      </c>
      <c r="H9">
        <f t="shared" si="3"/>
        <v>0</v>
      </c>
      <c r="M9">
        <v>1300</v>
      </c>
      <c r="N9" t="s">
        <v>30</v>
      </c>
      <c r="Y9" s="6">
        <f t="shared" si="0"/>
        <v>0</v>
      </c>
      <c r="AJ9" s="6">
        <f t="shared" si="1"/>
        <v>0</v>
      </c>
      <c r="AU9" s="6">
        <f t="shared" si="2"/>
        <v>0</v>
      </c>
    </row>
    <row r="10" spans="3:47" x14ac:dyDescent="0.25">
      <c r="C10" s="4" t="s">
        <v>10</v>
      </c>
      <c r="G10">
        <f t="shared" si="3"/>
        <v>0</v>
      </c>
      <c r="H10">
        <f t="shared" si="3"/>
        <v>0</v>
      </c>
      <c r="M10">
        <v>2500</v>
      </c>
      <c r="N10" t="s">
        <v>31</v>
      </c>
      <c r="Y10" s="6">
        <f t="shared" si="0"/>
        <v>0</v>
      </c>
      <c r="AJ10" s="6">
        <f t="shared" si="1"/>
        <v>0</v>
      </c>
      <c r="AU10" s="6">
        <f t="shared" si="2"/>
        <v>0</v>
      </c>
    </row>
    <row r="11" spans="3:47" x14ac:dyDescent="0.25">
      <c r="C11" s="4" t="s">
        <v>11</v>
      </c>
      <c r="G11">
        <f t="shared" si="3"/>
        <v>0</v>
      </c>
      <c r="H11">
        <f t="shared" si="3"/>
        <v>0</v>
      </c>
      <c r="M11">
        <v>5000</v>
      </c>
      <c r="N11" t="s">
        <v>32</v>
      </c>
      <c r="Y11" s="6">
        <f t="shared" si="0"/>
        <v>0</v>
      </c>
      <c r="AJ11" s="6">
        <f t="shared" si="1"/>
        <v>0</v>
      </c>
      <c r="AU11" s="6">
        <f t="shared" si="2"/>
        <v>0</v>
      </c>
    </row>
    <row r="12" spans="3:47" x14ac:dyDescent="0.25">
      <c r="C12" s="4" t="s">
        <v>12</v>
      </c>
      <c r="G12">
        <f t="shared" si="3"/>
        <v>0</v>
      </c>
      <c r="H12">
        <f t="shared" si="3"/>
        <v>0</v>
      </c>
      <c r="M12">
        <v>9200</v>
      </c>
      <c r="N12" t="s">
        <v>33</v>
      </c>
      <c r="Y12" s="6">
        <f t="shared" si="0"/>
        <v>0</v>
      </c>
      <c r="AJ12" s="6">
        <f t="shared" si="1"/>
        <v>0</v>
      </c>
      <c r="AU12" s="6">
        <f t="shared" si="2"/>
        <v>0</v>
      </c>
    </row>
    <row r="13" spans="3:47" x14ac:dyDescent="0.25">
      <c r="C13" s="4" t="s">
        <v>13</v>
      </c>
      <c r="G13">
        <f t="shared" si="3"/>
        <v>0</v>
      </c>
      <c r="H13">
        <f t="shared" si="3"/>
        <v>0</v>
      </c>
      <c r="M13">
        <v>9250</v>
      </c>
      <c r="N13" t="s">
        <v>34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>
        <f t="shared" si="0"/>
        <v>0</v>
      </c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>
        <f t="shared" si="1"/>
        <v>0</v>
      </c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>
        <f t="shared" si="2"/>
        <v>0</v>
      </c>
    </row>
    <row r="14" spans="3:47" x14ac:dyDescent="0.25">
      <c r="C14" s="4" t="s">
        <v>14</v>
      </c>
      <c r="G14">
        <f t="shared" si="3"/>
        <v>0</v>
      </c>
      <c r="H14">
        <f t="shared" si="3"/>
        <v>0</v>
      </c>
      <c r="N14" s="1" t="s">
        <v>17</v>
      </c>
      <c r="O14" s="6">
        <f>SUM(O7:O13)</f>
        <v>0</v>
      </c>
      <c r="P14" s="6">
        <f t="shared" ref="P14:AU14" si="4">SUM(P7:P13)</f>
        <v>0</v>
      </c>
      <c r="Q14" s="6">
        <f t="shared" si="4"/>
        <v>0</v>
      </c>
      <c r="R14" s="6">
        <f t="shared" si="4"/>
        <v>0</v>
      </c>
      <c r="S14" s="6">
        <f t="shared" si="4"/>
        <v>0</v>
      </c>
      <c r="T14" s="6">
        <f t="shared" si="4"/>
        <v>0</v>
      </c>
      <c r="U14" s="6">
        <f t="shared" si="4"/>
        <v>0</v>
      </c>
      <c r="V14" s="6">
        <f t="shared" si="4"/>
        <v>0</v>
      </c>
      <c r="W14" s="6">
        <f t="shared" si="4"/>
        <v>0</v>
      </c>
      <c r="X14" s="6">
        <f t="shared" si="4"/>
        <v>0</v>
      </c>
      <c r="Y14" s="6">
        <f t="shared" si="4"/>
        <v>0</v>
      </c>
      <c r="Z14" s="6">
        <f t="shared" si="4"/>
        <v>0</v>
      </c>
      <c r="AA14" s="6">
        <f t="shared" si="4"/>
        <v>0</v>
      </c>
      <c r="AB14" s="6">
        <f t="shared" si="4"/>
        <v>0</v>
      </c>
      <c r="AC14" s="6">
        <f t="shared" si="4"/>
        <v>0</v>
      </c>
      <c r="AD14" s="6">
        <f t="shared" si="4"/>
        <v>0</v>
      </c>
      <c r="AE14" s="6">
        <f t="shared" si="4"/>
        <v>0</v>
      </c>
      <c r="AF14" s="6">
        <f t="shared" si="4"/>
        <v>0</v>
      </c>
      <c r="AG14" s="6">
        <f t="shared" si="4"/>
        <v>0</v>
      </c>
      <c r="AH14" s="6">
        <f t="shared" si="4"/>
        <v>0</v>
      </c>
      <c r="AI14" s="6">
        <f t="shared" si="4"/>
        <v>0</v>
      </c>
      <c r="AJ14" s="6">
        <f t="shared" si="4"/>
        <v>0</v>
      </c>
      <c r="AK14" s="6">
        <f t="shared" si="4"/>
        <v>0</v>
      </c>
      <c r="AL14" s="6">
        <f t="shared" si="4"/>
        <v>0</v>
      </c>
      <c r="AM14" s="6">
        <f t="shared" si="4"/>
        <v>0</v>
      </c>
      <c r="AN14" s="6">
        <f t="shared" si="4"/>
        <v>0</v>
      </c>
      <c r="AO14" s="6">
        <f t="shared" si="4"/>
        <v>0</v>
      </c>
      <c r="AP14" s="6">
        <f t="shared" si="4"/>
        <v>0</v>
      </c>
      <c r="AQ14" s="6">
        <f t="shared" si="4"/>
        <v>0</v>
      </c>
      <c r="AR14" s="6">
        <f t="shared" si="4"/>
        <v>0</v>
      </c>
      <c r="AS14" s="6">
        <f t="shared" si="4"/>
        <v>0</v>
      </c>
      <c r="AT14" s="6">
        <f t="shared" si="4"/>
        <v>0</v>
      </c>
      <c r="AU14" s="6">
        <f t="shared" si="4"/>
        <v>0</v>
      </c>
    </row>
    <row r="15" spans="3:47" x14ac:dyDescent="0.25">
      <c r="C15" s="4" t="s">
        <v>15</v>
      </c>
      <c r="G15">
        <f t="shared" si="3"/>
        <v>0</v>
      </c>
      <c r="H15">
        <f t="shared" si="3"/>
        <v>0</v>
      </c>
    </row>
    <row r="16" spans="3:47" x14ac:dyDescent="0.25">
      <c r="C16" s="4" t="s">
        <v>16</v>
      </c>
      <c r="D16" s="3"/>
      <c r="E16" s="3"/>
      <c r="F16" s="3"/>
      <c r="G16" s="3">
        <f t="shared" si="3"/>
        <v>0</v>
      </c>
      <c r="H16" s="3">
        <f t="shared" si="3"/>
        <v>0</v>
      </c>
    </row>
    <row r="17" spans="3:8" x14ac:dyDescent="0.25">
      <c r="C17" s="1" t="s">
        <v>17</v>
      </c>
      <c r="D17" s="1">
        <f>SUM(D11:D16,D9)</f>
        <v>0</v>
      </c>
      <c r="E17" s="1">
        <f>SUM(E11:E16,E9)</f>
        <v>0</v>
      </c>
      <c r="F17" s="1">
        <f>SUM(F11:F16,F9)</f>
        <v>0</v>
      </c>
      <c r="G17" s="1">
        <f>SUM(G11:G16,G9)</f>
        <v>0</v>
      </c>
      <c r="H17" s="1">
        <f>SUM(H11:H16,H9)</f>
        <v>0</v>
      </c>
    </row>
    <row r="19" spans="3:8" x14ac:dyDescent="0.25">
      <c r="C19" s="2" t="s">
        <v>23</v>
      </c>
      <c r="D19" s="2"/>
      <c r="E19" s="2"/>
      <c r="F19" s="2"/>
      <c r="G19">
        <f>SUM(E19:F19)</f>
        <v>0</v>
      </c>
      <c r="H19">
        <f>SUM(F19:G19)</f>
        <v>0</v>
      </c>
    </row>
    <row r="20" spans="3:8" x14ac:dyDescent="0.25">
      <c r="C20" s="4" t="s">
        <v>9</v>
      </c>
      <c r="G20">
        <f t="shared" ref="G20:G27" si="5">SUM(E20:F20)</f>
        <v>0</v>
      </c>
      <c r="H20">
        <f t="shared" ref="H20:H27" si="6">SUM(F20:G20)</f>
        <v>0</v>
      </c>
    </row>
    <row r="21" spans="3:8" x14ac:dyDescent="0.25">
      <c r="C21" s="4" t="s">
        <v>10</v>
      </c>
      <c r="G21">
        <f t="shared" si="5"/>
        <v>0</v>
      </c>
      <c r="H21">
        <f t="shared" si="6"/>
        <v>0</v>
      </c>
    </row>
    <row r="22" spans="3:8" x14ac:dyDescent="0.25">
      <c r="C22" s="4" t="s">
        <v>11</v>
      </c>
      <c r="G22">
        <f t="shared" si="5"/>
        <v>0</v>
      </c>
      <c r="H22">
        <f t="shared" si="6"/>
        <v>0</v>
      </c>
    </row>
    <row r="23" spans="3:8" x14ac:dyDescent="0.25">
      <c r="C23" s="4" t="s">
        <v>12</v>
      </c>
      <c r="G23">
        <f t="shared" si="5"/>
        <v>0</v>
      </c>
      <c r="H23">
        <f t="shared" si="6"/>
        <v>0</v>
      </c>
    </row>
    <row r="24" spans="3:8" x14ac:dyDescent="0.25">
      <c r="C24" s="4" t="s">
        <v>13</v>
      </c>
      <c r="G24">
        <f t="shared" si="5"/>
        <v>0</v>
      </c>
      <c r="H24">
        <f t="shared" si="6"/>
        <v>0</v>
      </c>
    </row>
    <row r="25" spans="3:8" x14ac:dyDescent="0.25">
      <c r="C25" s="4" t="s">
        <v>14</v>
      </c>
      <c r="G25">
        <f t="shared" si="5"/>
        <v>0</v>
      </c>
      <c r="H25">
        <f t="shared" si="6"/>
        <v>0</v>
      </c>
    </row>
    <row r="26" spans="3:8" x14ac:dyDescent="0.25">
      <c r="C26" s="4" t="s">
        <v>15</v>
      </c>
      <c r="G26">
        <f t="shared" si="5"/>
        <v>0</v>
      </c>
      <c r="H26">
        <f t="shared" si="6"/>
        <v>0</v>
      </c>
    </row>
    <row r="27" spans="3:8" x14ac:dyDescent="0.25">
      <c r="C27" s="4" t="s">
        <v>16</v>
      </c>
      <c r="D27" s="3"/>
      <c r="E27" s="3"/>
      <c r="F27" s="3"/>
      <c r="G27" s="3">
        <f t="shared" si="5"/>
        <v>0</v>
      </c>
      <c r="H27" s="3">
        <f t="shared" si="6"/>
        <v>0</v>
      </c>
    </row>
    <row r="28" spans="3:8" x14ac:dyDescent="0.25">
      <c r="C28" s="5" t="s">
        <v>17</v>
      </c>
      <c r="D28" s="1">
        <f>SUM(D22:D27,D20)</f>
        <v>0</v>
      </c>
      <c r="E28" s="1">
        <f>SUM(E22:E27,E20)</f>
        <v>0</v>
      </c>
      <c r="F28" s="1">
        <f>SUM(F22:F27,F20)</f>
        <v>0</v>
      </c>
      <c r="G28" s="1">
        <f>SUM(G22:G27,G20)</f>
        <v>0</v>
      </c>
      <c r="H28" s="1">
        <f>SUM(H22:H27,H20)</f>
        <v>0</v>
      </c>
    </row>
    <row r="30" spans="3:8" x14ac:dyDescent="0.25">
      <c r="D30" s="1" t="s">
        <v>6</v>
      </c>
      <c r="E30" s="1" t="s">
        <v>7</v>
      </c>
      <c r="F30" s="1" t="s">
        <v>43</v>
      </c>
    </row>
    <row r="31" spans="3:8" x14ac:dyDescent="0.25">
      <c r="C31" t="s">
        <v>46</v>
      </c>
      <c r="D31">
        <v>0</v>
      </c>
      <c r="E31">
        <v>0</v>
      </c>
      <c r="F31">
        <v>0</v>
      </c>
    </row>
    <row r="32" spans="3:8" x14ac:dyDescent="0.25">
      <c r="C32" t="s">
        <v>47</v>
      </c>
      <c r="D32">
        <v>0</v>
      </c>
      <c r="E32">
        <v>0</v>
      </c>
      <c r="F32">
        <v>0</v>
      </c>
    </row>
    <row r="33" spans="3:6" x14ac:dyDescent="0.25">
      <c r="C33" t="s">
        <v>49</v>
      </c>
      <c r="D33">
        <f>D31-D32</f>
        <v>0</v>
      </c>
      <c r="E33">
        <f t="shared" ref="E33:F33" si="7">E31-E32</f>
        <v>0</v>
      </c>
      <c r="F33">
        <f t="shared" si="7"/>
        <v>0</v>
      </c>
    </row>
    <row r="34" spans="3:6" x14ac:dyDescent="0.25">
      <c r="C34" t="s">
        <v>48</v>
      </c>
      <c r="D34" s="10">
        <v>0</v>
      </c>
      <c r="E34" s="10">
        <v>0</v>
      </c>
      <c r="F34" s="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F59AB-0C94-4E6C-A423-2104AFB430AD}">
  <dimension ref="C1:V8"/>
  <sheetViews>
    <sheetView tabSelected="1" workbookViewId="0">
      <selection activeCell="U8" sqref="U8"/>
    </sheetView>
  </sheetViews>
  <sheetFormatPr defaultRowHeight="15" x14ac:dyDescent="0.25"/>
  <cols>
    <col min="7" max="7" width="2.7109375" customWidth="1"/>
    <col min="11" max="11" width="2.7109375" customWidth="1"/>
    <col min="15" max="15" width="2.7109375" customWidth="1"/>
    <col min="19" max="19" width="2.7109375" customWidth="1"/>
  </cols>
  <sheetData>
    <row r="1" spans="3:22" x14ac:dyDescent="0.25">
      <c r="C1" s="1" t="s">
        <v>50</v>
      </c>
      <c r="D1" s="1" t="s">
        <v>61</v>
      </c>
    </row>
    <row r="2" spans="3:22" s="1" customFormat="1" x14ac:dyDescent="0.25">
      <c r="D2" s="13" t="s">
        <v>55</v>
      </c>
      <c r="E2" s="13"/>
      <c r="F2" s="13"/>
      <c r="H2" s="13" t="s">
        <v>56</v>
      </c>
      <c r="I2" s="13"/>
      <c r="J2" s="13"/>
      <c r="L2" s="13" t="s">
        <v>62</v>
      </c>
      <c r="M2" s="13"/>
      <c r="N2" s="13"/>
      <c r="P2" s="13" t="s">
        <v>60</v>
      </c>
      <c r="Q2" s="13"/>
      <c r="R2" s="13"/>
      <c r="T2" s="13" t="s">
        <v>63</v>
      </c>
      <c r="U2" s="13"/>
      <c r="V2" s="13"/>
    </row>
    <row r="3" spans="3:22" s="1" customFormat="1" x14ac:dyDescent="0.25">
      <c r="C3" s="1" t="s">
        <v>51</v>
      </c>
      <c r="D3" s="1" t="s">
        <v>57</v>
      </c>
      <c r="E3" s="1" t="s">
        <v>6</v>
      </c>
      <c r="F3" s="1" t="s">
        <v>59</v>
      </c>
      <c r="H3" s="1" t="s">
        <v>57</v>
      </c>
      <c r="I3" s="1" t="s">
        <v>58</v>
      </c>
      <c r="J3" s="1" t="s">
        <v>59</v>
      </c>
      <c r="L3" s="1" t="s">
        <v>57</v>
      </c>
      <c r="M3" s="1" t="s">
        <v>58</v>
      </c>
      <c r="N3" s="1" t="s">
        <v>59</v>
      </c>
      <c r="P3" s="1" t="s">
        <v>57</v>
      </c>
      <c r="Q3" s="1" t="s">
        <v>58</v>
      </c>
      <c r="R3" s="1" t="s">
        <v>59</v>
      </c>
      <c r="T3" s="1" t="s">
        <v>57</v>
      </c>
      <c r="U3" s="1" t="s">
        <v>58</v>
      </c>
      <c r="V3" s="1" t="s">
        <v>59</v>
      </c>
    </row>
    <row r="4" spans="3:22" x14ac:dyDescent="0.25">
      <c r="C4" t="s">
        <v>31</v>
      </c>
      <c r="F4" s="10">
        <v>0</v>
      </c>
      <c r="J4" s="10">
        <v>0</v>
      </c>
      <c r="N4" s="10">
        <v>0</v>
      </c>
      <c r="R4" s="10">
        <v>0</v>
      </c>
      <c r="V4" s="10">
        <v>0</v>
      </c>
    </row>
    <row r="5" spans="3:22" x14ac:dyDescent="0.25">
      <c r="C5" t="s">
        <v>52</v>
      </c>
      <c r="F5" s="10">
        <v>0</v>
      </c>
      <c r="J5" s="10">
        <v>0</v>
      </c>
      <c r="N5" s="10">
        <v>0</v>
      </c>
      <c r="R5" s="10">
        <v>0</v>
      </c>
      <c r="V5" s="10">
        <v>0</v>
      </c>
    </row>
    <row r="6" spans="3:22" x14ac:dyDescent="0.25">
      <c r="C6" t="s">
        <v>53</v>
      </c>
      <c r="F6" s="10">
        <v>0</v>
      </c>
      <c r="J6" s="10">
        <v>0</v>
      </c>
      <c r="N6" s="10">
        <v>0</v>
      </c>
      <c r="R6" s="10">
        <v>0</v>
      </c>
      <c r="V6" s="10">
        <v>0</v>
      </c>
    </row>
    <row r="7" spans="3:22" x14ac:dyDescent="0.25">
      <c r="C7" t="s">
        <v>54</v>
      </c>
      <c r="D7" s="3"/>
      <c r="E7" s="3"/>
      <c r="F7" s="11">
        <v>0</v>
      </c>
      <c r="H7" s="3"/>
      <c r="I7" s="3"/>
      <c r="J7" s="11">
        <v>0</v>
      </c>
      <c r="L7" s="3"/>
      <c r="M7" s="3"/>
      <c r="N7" s="11">
        <v>0</v>
      </c>
      <c r="P7" s="3"/>
      <c r="Q7" s="3"/>
      <c r="R7" s="11">
        <v>0</v>
      </c>
      <c r="T7" s="3"/>
      <c r="U7" s="3"/>
      <c r="V7" s="11">
        <v>0</v>
      </c>
    </row>
    <row r="8" spans="3:22" s="1" customFormat="1" x14ac:dyDescent="0.25">
      <c r="C8" s="1" t="s">
        <v>17</v>
      </c>
      <c r="D8" s="1">
        <f>SUM(D4:D7)</f>
        <v>0</v>
      </c>
      <c r="E8" s="1">
        <f>SUM(E4:E7)</f>
        <v>0</v>
      </c>
      <c r="F8" s="12">
        <v>0</v>
      </c>
      <c r="H8" s="1">
        <f>SUM(H4:H7)</f>
        <v>0</v>
      </c>
      <c r="I8" s="1">
        <f>SUM(I4:I7)</f>
        <v>0</v>
      </c>
      <c r="J8" s="12">
        <v>0</v>
      </c>
      <c r="L8" s="1">
        <f>SUM(L4:L7)</f>
        <v>0</v>
      </c>
      <c r="M8" s="1">
        <f>SUM(M4:M7)</f>
        <v>0</v>
      </c>
      <c r="N8" s="12">
        <v>0</v>
      </c>
      <c r="P8" s="1">
        <f>SUM(P4:P7)</f>
        <v>0</v>
      </c>
      <c r="Q8" s="1">
        <f>SUM(Q4:Q7)</f>
        <v>0</v>
      </c>
      <c r="R8" s="12">
        <v>0</v>
      </c>
      <c r="T8" s="1">
        <f>SUM(T4:T7)</f>
        <v>0</v>
      </c>
      <c r="U8" s="1">
        <f>SUM(U4:U7)</f>
        <v>0</v>
      </c>
      <c r="V8" s="12">
        <v>0</v>
      </c>
    </row>
  </sheetData>
  <mergeCells count="5">
    <mergeCell ref="D2:F2"/>
    <mergeCell ref="H2:J2"/>
    <mergeCell ref="L2:N2"/>
    <mergeCell ref="P2:R2"/>
    <mergeCell ref="T2:V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Vecchione</dc:creator>
  <cp:lastModifiedBy>Mark Vecchione</cp:lastModifiedBy>
  <dcterms:created xsi:type="dcterms:W3CDTF">2026-07-06T13:22:42Z</dcterms:created>
  <dcterms:modified xsi:type="dcterms:W3CDTF">2026-07-06T14:27:36Z</dcterms:modified>
</cp:coreProperties>
</file>